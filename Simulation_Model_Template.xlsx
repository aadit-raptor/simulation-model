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Deal Inputs" sheetId="3" state="visible" r:id="rId3"/>
    <sheet xmlns:r="http://schemas.openxmlformats.org/officeDocument/2006/relationships" name="Operating Model" sheetId="4" state="visible" r:id="rId4"/>
    <sheet xmlns:r="http://schemas.openxmlformats.org/officeDocument/2006/relationships" name="MC Simulation 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x"/>
  </numFmts>
  <fonts count="15">
    <font>
      <name val="Calibri"/>
      <family val="2"/>
      <color theme="1"/>
      <sz val="11"/>
      <scheme val="minor"/>
    </font>
    <font>
      <name val="Arial"/>
      <b val="1"/>
      <color rgb="000D1B2A"/>
      <sz val="16"/>
    </font>
    <font>
      <name val="Arial"/>
      <b val="1"/>
      <color rgb="000D1B2A"/>
      <sz val="11"/>
    </font>
    <font>
      <name val="Arial"/>
      <b val="1"/>
      <color rgb="000D1B2A"/>
      <sz val="10"/>
    </font>
    <font>
      <name val="Arial"/>
      <color rgb="00374151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i val="1"/>
      <color rgb="00374151"/>
      <sz val="9"/>
    </font>
    <font>
      <name val="Arial"/>
      <i val="1"/>
      <color rgb="005a5a72"/>
      <sz val="9"/>
    </font>
    <font>
      <name val="Arial"/>
      <i val="1"/>
      <color rgb="00888888"/>
      <sz val="9"/>
    </font>
    <font>
      <name val="Arial"/>
      <i val="1"/>
      <color rgb="00AAAAAA"/>
      <sz val="9"/>
    </font>
    <font>
      <name val="Arial"/>
      <color rgb="00888888"/>
      <sz val="10"/>
    </font>
    <font>
      <name val="Arial"/>
      <color rgb="00AAAAAA"/>
      <sz val="9"/>
    </font>
  </fonts>
  <fills count="9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0D1B2A"/>
      </patternFill>
    </fill>
    <fill>
      <patternFill patternType="solid">
        <fgColor rgb="001A56DB"/>
      </patternFill>
    </fill>
    <fill>
      <patternFill patternType="solid">
        <fgColor rgb="00FFFFD0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185fa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1" fontId="7" fillId="2" borderId="1" applyAlignment="1" pivotButton="0" quotePrefix="0" xfId="0">
      <alignment horizontal="center"/>
    </xf>
    <xf numFmtId="164" fontId="7" fillId="2" borderId="1" applyAlignment="1" pivotButton="0" quotePrefix="0" xfId="0">
      <alignment horizontal="right"/>
    </xf>
    <xf numFmtId="165" fontId="7" fillId="2" borderId="1" applyAlignment="1" pivotButton="0" quotePrefix="0" xfId="0">
      <alignment horizontal="right"/>
    </xf>
    <xf numFmtId="165" fontId="8" fillId="6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" fontId="7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right"/>
    </xf>
    <xf numFmtId="0" fontId="9" fillId="7" borderId="0" pivotButton="0" quotePrefix="0" xfId="0"/>
    <xf numFmtId="0" fontId="6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indent="1"/>
    </xf>
    <xf numFmtId="49" fontId="7" fillId="2" borderId="1" applyAlignment="1" pivotButton="0" quotePrefix="0" xfId="0">
      <alignment horizontal="right"/>
    </xf>
    <xf numFmtId="0" fontId="10" fillId="0" borderId="0" pivotButton="0" quotePrefix="0" xfId="0"/>
    <xf numFmtId="166" fontId="7" fillId="2" borderId="1" applyAlignment="1" pivotButton="0" quotePrefix="0" xfId="0">
      <alignment horizontal="right"/>
    </xf>
    <xf numFmtId="1" fontId="7" fillId="2" borderId="1" applyAlignment="1" pivotButton="0" quotePrefix="0" xfId="0">
      <alignment horizontal="right"/>
    </xf>
    <xf numFmtId="3" fontId="7" fillId="2" borderId="1" applyAlignment="1" pivotButton="0" quotePrefix="0" xfId="0">
      <alignment horizontal="right"/>
    </xf>
    <xf numFmtId="0" fontId="6" fillId="3" borderId="0" pivotButton="0" quotePrefix="0" xfId="0"/>
    <xf numFmtId="0" fontId="6" fillId="8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11" fillId="0" borderId="0" pivotButton="0" quotePrefix="0" xfId="0"/>
    <xf numFmtId="164" fontId="12" fillId="6" borderId="1" applyAlignment="1" pivotButton="0" quotePrefix="0" xfId="0">
      <alignment horizontal="right"/>
    </xf>
    <xf numFmtId="0" fontId="13" fillId="0" borderId="0" applyAlignment="1" pivotButton="0" quotePrefix="0" xfId="0">
      <alignment horizontal="left" indent="2"/>
    </xf>
    <xf numFmtId="165" fontId="14" fillId="0" borderId="1" applyAlignment="1" pivotButton="0" quotePrefix="0" xfId="0">
      <alignment horizontal="right"/>
    </xf>
    <xf numFmtId="165" fontId="1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Simulation Model</author>
  </authors>
  <commentList>
    <comment ref="A2" authorId="0" shapeId="0">
      <text>
        <t>Fiscal year (e.g. 2022)</t>
      </text>
    </comment>
    <comment ref="B2" authorId="0" shapeId="0">
      <text>
        <t>Total revenue in $M (or local unit)</t>
      </text>
    </comment>
    <comment ref="C2" authorId="0" shapeId="0">
      <text>
        <t>Earnings before interest, tax, D&amp;A</t>
      </text>
    </comment>
    <comment ref="D2" authorId="0" shapeId="0">
      <text>
        <t>Operating profit (EBITDA minus D&amp;A)</t>
      </text>
    </comment>
    <comment ref="E2" authorId="0" shapeId="0">
      <text>
        <t>Bottom-line profit after all costs</t>
      </text>
    </comment>
    <comment ref="F2" authorId="0" shapeId="0">
      <text>
        <t>Depreciation &amp; Amortisation</t>
      </text>
    </comment>
    <comment ref="G2" authorId="0" shapeId="0">
      <text>
        <t>Capital expenditure</t>
      </text>
    </comment>
    <comment ref="H2" authorId="0" shapeId="0">
      <text>
        <t>Change in net working capital (+ = cash outflow)</t>
      </text>
    </comment>
    <comment ref="I2" authorId="0" shapeId="0">
      <text>
        <t>Total debt outstanding at year end</t>
      </text>
    </comment>
    <comment ref="J2" authorId="0" shapeId="0">
      <text>
        <t>Cash and equivalents</t>
      </text>
    </comment>
    <comment ref="K2" authorId="0" shapeId="0">
      <text>
        <t>Gross profit / Revenue  (as decimal e.g. 0.35)</t>
      </text>
    </comment>
    <comment ref="L2" authorId="0" shapeId="0">
      <text>
        <t>EBITDA / Revenue  (as decimal e.g. 0.18)</t>
      </text>
    </comment>
    <comment ref="M2" authorId="0" shapeId="0">
      <text>
        <t>YoY revenue growth  (as decimal e.g. 0.05)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Simulation Model — Input Template</t>
        </is>
      </c>
    </row>
    <row r="3">
      <c r="A3" s="2" t="inlineStr">
        <is>
          <t>HOW TO USE THIS TEMPLATE</t>
        </is>
      </c>
    </row>
    <row r="4">
      <c r="A4" s="3" t="inlineStr">
        <is>
          <t>COLOUR CODING:</t>
        </is>
      </c>
      <c r="B4" s="4" t="inlineStr"/>
    </row>
    <row r="5">
      <c r="A5" s="4" t="inlineStr">
        <is>
          <t xml:space="preserve">  Blue cells</t>
        </is>
      </c>
      <c r="B5" s="4" t="inlineStr">
        <is>
          <t>Hardcoded inputs — type your assumptions here</t>
        </is>
      </c>
    </row>
    <row r="6">
      <c r="A6" s="4" t="inlineStr">
        <is>
          <t xml:space="preserve">  Black cells</t>
        </is>
      </c>
      <c r="B6" s="4" t="inlineStr">
        <is>
          <t>Formulas — auto-calculated, do not edit</t>
        </is>
      </c>
    </row>
    <row r="7">
      <c r="A7" s="4" t="inlineStr">
        <is>
          <t xml:space="preserve">  Green cells</t>
        </is>
      </c>
      <c r="B7" s="4" t="inlineStr">
        <is>
          <t>Cross-sheet links — auto-populated from other tabs</t>
        </is>
      </c>
    </row>
    <row r="8">
      <c r="A8" s="4" t="inlineStr">
        <is>
          <t xml:space="preserve">  Yellow cells</t>
        </is>
      </c>
      <c r="B8" s="4" t="inlineStr">
        <is>
          <t>Cells requiring attention or missing data</t>
        </is>
      </c>
    </row>
    <row r="9">
      <c r="A9" s="4" t="inlineStr"/>
      <c r="B9" s="4" t="inlineStr"/>
    </row>
    <row r="10">
      <c r="A10" s="3" t="inlineStr">
        <is>
          <t>WORKFLOW:</t>
        </is>
      </c>
      <c r="B10" s="4" t="inlineStr"/>
    </row>
    <row r="11">
      <c r="A11" s="4" t="inlineStr">
        <is>
          <t xml:space="preserve">  Step 1</t>
        </is>
      </c>
      <c r="B11" s="4" t="inlineStr">
        <is>
          <t>Fill in the COMPANY INFO tab with company name, sector, currency</t>
        </is>
      </c>
    </row>
    <row r="12">
      <c r="A12" s="4" t="inlineStr">
        <is>
          <t xml:space="preserve">  Step 2</t>
        </is>
      </c>
      <c r="B12" s="4" t="inlineStr">
        <is>
          <t>Enter HISTORICAL DATA (2-3 years minimum) in the Historical tab</t>
        </is>
      </c>
    </row>
    <row r="13">
      <c r="A13" s="4" t="inlineStr">
        <is>
          <t xml:space="preserve">  Step 3</t>
        </is>
      </c>
      <c r="B13" s="4" t="inlineStr">
        <is>
          <t>Set DEAL ASSUMPTIONS in the Deal Inputs tab</t>
        </is>
      </c>
    </row>
    <row r="14">
      <c r="A14" s="4" t="inlineStr">
        <is>
          <t xml:space="preserve">  Step 4</t>
        </is>
      </c>
      <c r="B14" s="4" t="inlineStr">
        <is>
          <t>Check the CAPITAL STRUCTURE tab — verify debt sizing</t>
        </is>
      </c>
    </row>
    <row r="15">
      <c r="A15" s="4" t="inlineStr">
        <is>
          <t xml:space="preserve">  Step 5</t>
        </is>
      </c>
      <c r="B15" s="4" t="inlineStr">
        <is>
          <t>Review OPERATING MODEL — adjust growth and margin assumptions</t>
        </is>
      </c>
    </row>
    <row r="16">
      <c r="A16" s="4" t="inlineStr">
        <is>
          <t xml:space="preserve">  Step 6</t>
        </is>
      </c>
      <c r="B16" s="4" t="inlineStr">
        <is>
          <t>Upload this file to the Forecasting page in the Simulation Model app</t>
        </is>
      </c>
    </row>
    <row r="17">
      <c r="A17" s="4" t="inlineStr"/>
      <c r="B17" s="4" t="inlineStr"/>
    </row>
    <row r="18">
      <c r="A18" s="3" t="inlineStr">
        <is>
          <t>NOTES:</t>
        </is>
      </c>
      <c r="B18" s="4" t="inlineStr"/>
    </row>
    <row r="19">
      <c r="A19" s="4" t="inlineStr">
        <is>
          <t xml:space="preserve">  - All monetary values in the same unit (e.g. all $M or all INR Cr)</t>
        </is>
      </c>
      <c r="B19" s="4" t="inlineStr"/>
    </row>
    <row r="20">
      <c r="A20" s="4" t="inlineStr">
        <is>
          <t xml:space="preserve">  - Growth rates entered as decimals (0.05 = 5%) in the app, as % here (5.0%)</t>
        </is>
      </c>
      <c r="B20" s="4" t="inlineStr"/>
    </row>
    <row r="21">
      <c r="A21" s="4" t="inlineStr">
        <is>
          <t xml:space="preserve">  - The app reads columns by name — do not rename column headers</t>
        </is>
      </c>
      <c r="B21" s="4" t="inlineStr"/>
    </row>
    <row r="22">
      <c r="A22" s="4" t="inlineStr">
        <is>
          <t xml:space="preserve">  - Leave cells blank if data is not available — app will estimate</t>
        </is>
      </c>
      <c r="B22" s="4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5" customWidth="1" min="12" max="12"/>
    <col width="15" customWidth="1" min="13" max="13"/>
  </cols>
  <sheetData>
    <row r="1" ht="20" customHeight="1">
      <c r="A1" s="5" t="inlineStr">
        <is>
          <t>HISTORICAL FINANCIALS — Input data for the last 2-3 fiscal years</t>
        </is>
      </c>
    </row>
    <row r="2" ht="18" customHeight="1">
      <c r="A2" s="6" t="inlineStr">
        <is>
          <t>Year</t>
        </is>
      </c>
      <c r="B2" s="6" t="inlineStr">
        <is>
          <t>Revenue</t>
        </is>
      </c>
      <c r="C2" s="6" t="inlineStr">
        <is>
          <t>EBITDA</t>
        </is>
      </c>
      <c r="D2" s="6" t="inlineStr">
        <is>
          <t>EBIT</t>
        </is>
      </c>
      <c r="E2" s="6" t="inlineStr">
        <is>
          <t>Net Income</t>
        </is>
      </c>
      <c r="F2" s="6" t="inlineStr">
        <is>
          <t>DA</t>
        </is>
      </c>
      <c r="G2" s="6" t="inlineStr">
        <is>
          <t>Capex</t>
        </is>
      </c>
      <c r="H2" s="6" t="inlineStr">
        <is>
          <t>NWC Change</t>
        </is>
      </c>
      <c r="I2" s="6" t="inlineStr">
        <is>
          <t>Total Debt</t>
        </is>
      </c>
      <c r="J2" s="6" t="inlineStr">
        <is>
          <t>Cash</t>
        </is>
      </c>
      <c r="K2" s="6" t="inlineStr">
        <is>
          <t>Gross Margin</t>
        </is>
      </c>
      <c r="L2" s="6" t="inlineStr">
        <is>
          <t>EBITDA Margin</t>
        </is>
      </c>
      <c r="M2" s="6" t="inlineStr">
        <is>
          <t>Revenue Growth</t>
        </is>
      </c>
    </row>
    <row r="3" ht="16" customHeight="1">
      <c r="A3" s="7" t="n">
        <v>2022</v>
      </c>
      <c r="B3" s="8" t="n">
        <v>100</v>
      </c>
      <c r="C3" s="8" t="n">
        <v>18</v>
      </c>
      <c r="D3" s="8" t="n">
        <v>13</v>
      </c>
      <c r="E3" s="8" t="n">
        <v>7</v>
      </c>
      <c r="F3" s="8" t="n">
        <v>5</v>
      </c>
      <c r="G3" s="8" t="n">
        <v>4</v>
      </c>
      <c r="H3" s="8" t="n">
        <v>1.2</v>
      </c>
      <c r="I3" s="8" t="n">
        <v>60</v>
      </c>
      <c r="J3" s="8" t="n">
        <v>10</v>
      </c>
      <c r="K3" s="9" t="n">
        <v>0.38</v>
      </c>
      <c r="L3" s="10">
        <f>D3/C3</f>
        <v/>
      </c>
      <c r="M3" s="11" t="inlineStr"/>
    </row>
    <row r="4" ht="16" customHeight="1">
      <c r="A4" s="7" t="n">
        <v>2023</v>
      </c>
      <c r="B4" s="8" t="n">
        <v>108</v>
      </c>
      <c r="C4" s="8" t="n">
        <v>20</v>
      </c>
      <c r="D4" s="8" t="n">
        <v>15</v>
      </c>
      <c r="E4" s="8" t="n">
        <v>9</v>
      </c>
      <c r="F4" s="8" t="n">
        <v>5</v>
      </c>
      <c r="G4" s="8" t="n">
        <v>4.5</v>
      </c>
      <c r="H4" s="8" t="n">
        <v>1.3</v>
      </c>
      <c r="I4" s="8" t="n">
        <v>57</v>
      </c>
      <c r="J4" s="8" t="n">
        <v>11</v>
      </c>
      <c r="K4" s="9" t="n">
        <v>0.39</v>
      </c>
      <c r="L4" s="10">
        <f>D4/C4</f>
        <v/>
      </c>
      <c r="M4" s="10">
        <f>(C4-C3)/C3</f>
        <v/>
      </c>
    </row>
    <row r="5" ht="16" customHeight="1">
      <c r="A5" s="7" t="n">
        <v>2024</v>
      </c>
      <c r="B5" s="8" t="n">
        <v>115</v>
      </c>
      <c r="C5" s="8" t="n">
        <v>22.5</v>
      </c>
      <c r="D5" s="8" t="n">
        <v>17</v>
      </c>
      <c r="E5" s="8" t="n">
        <v>10.5</v>
      </c>
      <c r="F5" s="8" t="n">
        <v>5.5</v>
      </c>
      <c r="G5" s="8" t="n">
        <v>5</v>
      </c>
      <c r="H5" s="8" t="n">
        <v>1.4</v>
      </c>
      <c r="I5" s="8" t="n">
        <v>53</v>
      </c>
      <c r="J5" s="8" t="n">
        <v>12</v>
      </c>
      <c r="K5" s="9" t="n">
        <v>0.4</v>
      </c>
      <c r="L5" s="10">
        <f>D5/C5</f>
        <v/>
      </c>
      <c r="M5" s="10">
        <f>(C5-C4)/C4</f>
        <v/>
      </c>
    </row>
    <row r="6" ht="16" customHeight="1">
      <c r="A6" s="12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</row>
    <row r="7" ht="16" customHeight="1">
      <c r="A7" s="12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</row>
    <row r="8" ht="16" customHeight="1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</row>
    <row r="9">
      <c r="A9" s="14" t="inlineStr">
        <is>
          <t>NOTE: Blue cells = manual input (hardcoded). Black cells = formulas (auto-calculated). Yellow cells = fill in. Upload this sheet as CSV from the Forecasting page.</t>
        </is>
      </c>
    </row>
  </sheetData>
  <mergeCells count="2">
    <mergeCell ref="A1:M1"/>
    <mergeCell ref="A9:M9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</cols>
  <sheetData>
    <row r="1" ht="20" customHeight="1">
      <c r="A1" s="5" t="inlineStr">
        <is>
          <t>DEAL &amp; LBO ASSUMPTIONS</t>
        </is>
      </c>
    </row>
    <row r="2" ht="18" customHeight="1">
      <c r="A2" s="15" t="inlineStr">
        <is>
          <t xml:space="preserve">  TRANSACTION</t>
        </is>
      </c>
    </row>
    <row r="3" ht="16" customHeight="1">
      <c r="A3" s="16" t="inlineStr">
        <is>
          <t>Company name</t>
        </is>
      </c>
      <c r="B3" s="17" t="inlineStr">
        <is>
          <t>Target Co</t>
        </is>
      </c>
      <c r="C3" s="18" t="inlineStr">
        <is>
          <t>Name of the company</t>
        </is>
      </c>
    </row>
    <row r="4" ht="16" customHeight="1">
      <c r="A4" s="16" t="inlineStr">
        <is>
          <t>Sector</t>
        </is>
      </c>
      <c r="B4" s="17" t="inlineStr">
        <is>
          <t>Consumer</t>
        </is>
      </c>
      <c r="C4" s="18" t="inlineStr">
        <is>
          <t>Industry sector</t>
        </is>
      </c>
    </row>
    <row r="5" ht="16" customHeight="1">
      <c r="A5" s="16" t="inlineStr">
        <is>
          <t>Currency / unit</t>
        </is>
      </c>
      <c r="B5" s="17" t="inlineStr">
        <is>
          <t>$M</t>
        </is>
      </c>
      <c r="C5" s="18" t="inlineStr">
        <is>
          <t>$M, INR Cr, €M etc.</t>
        </is>
      </c>
    </row>
    <row r="6" ht="16" customHeight="1">
      <c r="A6" s="16" t="inlineStr">
        <is>
          <t>Entry EV / EBITDA (x)</t>
        </is>
      </c>
      <c r="B6" s="19" t="n">
        <v>10</v>
      </c>
      <c r="C6" s="18" t="inlineStr">
        <is>
          <t>EV at entry / LTM EBITDA</t>
        </is>
      </c>
    </row>
    <row r="7" ht="16" customHeight="1">
      <c r="A7" s="16" t="inlineStr">
        <is>
          <t>Exit EV / EBITDA (x)</t>
        </is>
      </c>
      <c r="B7" s="19" t="n">
        <v>10</v>
      </c>
      <c r="C7" s="18" t="inlineStr">
        <is>
          <t>Expected exit multiple</t>
        </is>
      </c>
    </row>
    <row r="8" ht="16" customHeight="1">
      <c r="A8" s="16" t="inlineStr">
        <is>
          <t>Holding period (yrs)</t>
        </is>
      </c>
      <c r="B8" s="20" t="n">
        <v>5</v>
      </c>
      <c r="C8" s="18" t="inlineStr">
        <is>
          <t>Years from close to exit</t>
        </is>
      </c>
    </row>
    <row r="9" ht="16" customHeight="1"/>
    <row r="10" ht="18" customHeight="1">
      <c r="A10" s="15" t="inlineStr">
        <is>
          <t xml:space="preserve">  CAPITAL STRUCTURE</t>
        </is>
      </c>
    </row>
    <row r="11" ht="16" customHeight="1">
      <c r="A11" s="16" t="inlineStr">
        <is>
          <t>Debt / EV (%)</t>
        </is>
      </c>
      <c r="B11" s="9" t="n">
        <v>0.6</v>
      </c>
      <c r="C11" s="18" t="inlineStr">
        <is>
          <t>Total debt as % of entry EV</t>
        </is>
      </c>
    </row>
    <row r="12" ht="16" customHeight="1">
      <c r="A12" s="16" t="inlineStr">
        <is>
          <t>Senior / total debt (%)</t>
        </is>
      </c>
      <c r="B12" s="9" t="n">
        <v>0.7</v>
      </c>
      <c r="C12" s="18" t="inlineStr">
        <is>
          <t>Senior tranche as % of total debt</t>
        </is>
      </c>
    </row>
    <row r="13" ht="16" customHeight="1">
      <c r="A13" s="16" t="inlineStr">
        <is>
          <t>Base interest rate (%)</t>
        </is>
      </c>
      <c r="B13" s="9" t="n">
        <v>0.065</v>
      </c>
      <c r="C13" s="18" t="inlineStr">
        <is>
          <t>Senior loan interest rate</t>
        </is>
      </c>
    </row>
    <row r="14" ht="16" customHeight="1">
      <c r="A14" s="16" t="inlineStr">
        <is>
          <t>Mezz spread (%)</t>
        </is>
      </c>
      <c r="B14" s="9" t="n">
        <v>0.04</v>
      </c>
      <c r="C14" s="18" t="inlineStr">
        <is>
          <t>Mezz = base rate + spread</t>
        </is>
      </c>
    </row>
    <row r="15" ht="16" customHeight="1"/>
    <row r="16" ht="18" customHeight="1">
      <c r="A16" s="15" t="inlineStr">
        <is>
          <t xml:space="preserve">  OPERATING MODEL</t>
        </is>
      </c>
    </row>
    <row r="17" ht="16" customHeight="1">
      <c r="A17" s="16" t="inlineStr">
        <is>
          <t>Revenue growth — mean (%)</t>
        </is>
      </c>
      <c r="B17" s="9" t="n">
        <v>0.05</v>
      </c>
      <c r="C17" s="18" t="inlineStr">
        <is>
          <t>Expected annual growth rate</t>
        </is>
      </c>
    </row>
    <row r="18" ht="16" customHeight="1">
      <c r="A18" s="16" t="inlineStr">
        <is>
          <t>Revenue growth — std dev (%)</t>
        </is>
      </c>
      <c r="B18" s="9" t="n">
        <v>0.03</v>
      </c>
      <c r="C18" s="18" t="inlineStr">
        <is>
          <t>Uncertainty in growth (higher = wider distribution)</t>
        </is>
      </c>
    </row>
    <row r="19" ht="16" customHeight="1">
      <c r="A19" s="16" t="inlineStr">
        <is>
          <t>Gross margin — mean (%)</t>
        </is>
      </c>
      <c r="B19" s="9" t="n">
        <v>0.4</v>
      </c>
      <c r="C19" s="18" t="inlineStr">
        <is>
          <t>Gross profit / Revenue</t>
        </is>
      </c>
    </row>
    <row r="20" ht="16" customHeight="1">
      <c r="A20" s="16" t="inlineStr">
        <is>
          <t>Gross margin — std dev (%)</t>
        </is>
      </c>
      <c r="B20" s="9" t="n">
        <v>0.03</v>
      </c>
      <c r="C20" s="18" t="inlineStr">
        <is>
          <t>Uncertainty in gross margin</t>
        </is>
      </c>
    </row>
    <row r="21" ht="16" customHeight="1">
      <c r="A21" s="16" t="inlineStr">
        <is>
          <t>OpEx / revenue (%)</t>
        </is>
      </c>
      <c r="B21" s="9" t="n">
        <v>0.18</v>
      </c>
      <c r="C21" s="18" t="inlineStr">
        <is>
          <t>Operating expenses as % of revenue</t>
        </is>
      </c>
    </row>
    <row r="22" ht="16" customHeight="1">
      <c r="A22" s="16" t="inlineStr">
        <is>
          <t>D&amp;A / revenue (%)</t>
        </is>
      </c>
      <c r="B22" s="9" t="n">
        <v>0.04</v>
      </c>
      <c r="C22" s="18" t="inlineStr">
        <is>
          <t>Depreciation &amp; Amortisation %</t>
        </is>
      </c>
    </row>
    <row r="23" ht="16" customHeight="1">
      <c r="A23" s="16" t="inlineStr">
        <is>
          <t>Tax rate (%)</t>
        </is>
      </c>
      <c r="B23" s="9" t="n">
        <v>0.25</v>
      </c>
      <c r="C23" s="18" t="inlineStr">
        <is>
          <t>Effective corporate tax rate</t>
        </is>
      </c>
    </row>
    <row r="24" ht="16" customHeight="1"/>
    <row r="25" ht="18" customHeight="1">
      <c r="A25" s="15" t="inlineStr">
        <is>
          <t xml:space="preserve">  CASH FLOW</t>
        </is>
      </c>
    </row>
    <row r="26" ht="16" customHeight="1">
      <c r="A26" s="16" t="inlineStr">
        <is>
          <t>Capex / revenue (%)</t>
        </is>
      </c>
      <c r="B26" s="9" t="n">
        <v>0.04</v>
      </c>
      <c r="C26" s="18" t="inlineStr">
        <is>
          <t>Capital expenditure % of revenue</t>
        </is>
      </c>
    </row>
    <row r="27" ht="16" customHeight="1">
      <c r="A27" s="16" t="inlineStr">
        <is>
          <t>NWC change / revenue (%)</t>
        </is>
      </c>
      <c r="B27" s="9" t="n">
        <v>0.01</v>
      </c>
      <c r="C27" s="18" t="inlineStr">
        <is>
          <t>Working capital change % of revenue</t>
        </is>
      </c>
    </row>
    <row r="28" ht="16" customHeight="1">
      <c r="A28" s="16" t="inlineStr">
        <is>
          <t>Minimum cash ($M)</t>
        </is>
      </c>
      <c r="B28" s="8" t="n">
        <v>0</v>
      </c>
      <c r="C28" s="18" t="inlineStr">
        <is>
          <t>Cash floor retained post-close</t>
        </is>
      </c>
    </row>
    <row r="29" ht="16" customHeight="1"/>
    <row r="30" ht="18" customHeight="1">
      <c r="A30" s="15" t="inlineStr">
        <is>
          <t xml:space="preserve">  SIMULATION</t>
        </is>
      </c>
    </row>
    <row r="31" ht="16" customHeight="1">
      <c r="A31" s="16" t="inlineStr">
        <is>
          <t>Number of scenarios</t>
        </is>
      </c>
      <c r="B31" s="21" t="n">
        <v>50000</v>
      </c>
      <c r="C31" s="18" t="inlineStr">
        <is>
          <t>Recommended: 50,000 for accuracy</t>
        </is>
      </c>
    </row>
    <row r="32" ht="16" customHeight="1">
      <c r="A32" s="16" t="inlineStr">
        <is>
          <t>Hurdle rate (%)</t>
        </is>
      </c>
      <c r="B32" s="9" t="n">
        <v>0.2</v>
      </c>
      <c r="C32" s="18" t="inlineStr">
        <is>
          <t>Minimum acceptable IRR (typically 20%)</t>
        </is>
      </c>
    </row>
    <row r="33" ht="16" customHeight="1">
      <c r="A33" s="16" t="inlineStr">
        <is>
          <t>Interest rate mean (%)</t>
        </is>
      </c>
      <c r="B33" s="9" t="n">
        <v>0.065</v>
      </c>
      <c r="C33" s="18" t="inlineStr">
        <is>
          <t>Expected base interest rate</t>
        </is>
      </c>
    </row>
    <row r="34" ht="16" customHeight="1">
      <c r="A34" s="16" t="inlineStr">
        <is>
          <t>Interest rate std dev (%)</t>
        </is>
      </c>
      <c r="B34" s="9" t="n">
        <v>0.015</v>
      </c>
      <c r="C34" s="18" t="inlineStr">
        <is>
          <t>Uncertainty in interest rates</t>
        </is>
      </c>
    </row>
    <row r="35" ht="16" customHeight="1">
      <c r="A35" s="16" t="inlineStr">
        <is>
          <t>Exit multiple std dev (x)</t>
        </is>
      </c>
      <c r="B35" s="19" t="n">
        <v>1.5</v>
      </c>
      <c r="C35" s="18" t="inlineStr">
        <is>
          <t>Uncertainty in exit multiple</t>
        </is>
      </c>
    </row>
  </sheetData>
  <mergeCells count="6">
    <mergeCell ref="A10:C10"/>
    <mergeCell ref="A25:C25"/>
    <mergeCell ref="A1:C1"/>
    <mergeCell ref="A2:C2"/>
    <mergeCell ref="A30:C30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0" customHeight="1">
      <c r="A1" s="5" t="inlineStr">
        <is>
          <t>OPERATING MODEL — Historical &amp; Projected</t>
        </is>
      </c>
    </row>
    <row r="2" ht="18" customHeight="1">
      <c r="A2" s="22" t="inlineStr">
        <is>
          <t>Line item</t>
        </is>
      </c>
      <c r="B2" s="22" t="inlineStr">
        <is>
          <t>Driver</t>
        </is>
      </c>
      <c r="C2" s="23" t="inlineStr">
        <is>
          <t>H-2</t>
        </is>
      </c>
      <c r="D2" s="23" t="inlineStr">
        <is>
          <t>H-1</t>
        </is>
      </c>
      <c r="E2" s="23" t="inlineStr">
        <is>
          <t>LTM</t>
        </is>
      </c>
      <c r="F2" s="24" t="inlineStr">
        <is>
          <t>Year 1</t>
        </is>
      </c>
      <c r="G2" s="24" t="inlineStr">
        <is>
          <t>Year 2</t>
        </is>
      </c>
      <c r="H2" s="24" t="inlineStr">
        <is>
          <t>Year 3</t>
        </is>
      </c>
      <c r="I2" s="24" t="inlineStr">
        <is>
          <t>Year 4</t>
        </is>
      </c>
      <c r="J2" s="24" t="inlineStr">
        <is>
          <t>Year 5</t>
        </is>
      </c>
    </row>
    <row r="3" ht="15" customHeight="1">
      <c r="A3" s="25" t="inlineStr">
        <is>
          <t>Revenue ($M)</t>
        </is>
      </c>
      <c r="B3" s="26" t="inlineStr">
        <is>
          <t>Growth rate</t>
        </is>
      </c>
      <c r="C3" s="8" t="n">
        <v>95</v>
      </c>
      <c r="D3" s="8" t="n">
        <v>100</v>
      </c>
      <c r="E3" s="8" t="n">
        <v>108</v>
      </c>
      <c r="F3" s="27" t="inlineStr">
        <is>
          <t>[formula]</t>
        </is>
      </c>
      <c r="G3" s="27" t="inlineStr">
        <is>
          <t>[formula]</t>
        </is>
      </c>
      <c r="H3" s="27" t="inlineStr">
        <is>
          <t>[formula]</t>
        </is>
      </c>
      <c r="I3" s="27" t="inlineStr">
        <is>
          <t>[formula]</t>
        </is>
      </c>
      <c r="J3" s="27" t="inlineStr">
        <is>
          <t>[formula]</t>
        </is>
      </c>
    </row>
    <row r="4" ht="15" customHeight="1">
      <c r="A4" s="28" t="inlineStr">
        <is>
          <t xml:space="preserve">  % growth</t>
        </is>
      </c>
      <c r="B4" s="26" t="inlineStr"/>
      <c r="C4" s="29" t="inlineStr"/>
      <c r="D4" s="29" t="inlineStr"/>
      <c r="E4" s="29" t="inlineStr"/>
      <c r="F4" s="30" t="inlineStr"/>
      <c r="G4" s="30" t="inlineStr"/>
      <c r="H4" s="30" t="inlineStr"/>
      <c r="I4" s="30" t="inlineStr"/>
      <c r="J4" s="30" t="inlineStr"/>
    </row>
    <row r="5" ht="15" customHeight="1">
      <c r="A5" s="25" t="inlineStr">
        <is>
          <t>COGS</t>
        </is>
      </c>
      <c r="B5" s="26" t="inlineStr">
        <is>
          <t>% of revenue</t>
        </is>
      </c>
      <c r="C5" s="8" t="n">
        <v>57</v>
      </c>
      <c r="D5" s="8" t="n">
        <v>60</v>
      </c>
      <c r="E5" s="8" t="n">
        <v>64.8</v>
      </c>
      <c r="F5" s="27" t="inlineStr">
        <is>
          <t>[formula]</t>
        </is>
      </c>
      <c r="G5" s="27" t="inlineStr">
        <is>
          <t>[formula]</t>
        </is>
      </c>
      <c r="H5" s="27" t="inlineStr">
        <is>
          <t>[formula]</t>
        </is>
      </c>
      <c r="I5" s="27" t="inlineStr">
        <is>
          <t>[formula]</t>
        </is>
      </c>
      <c r="J5" s="27" t="inlineStr">
        <is>
          <t>[formula]</t>
        </is>
      </c>
    </row>
    <row r="6" ht="15" customHeight="1">
      <c r="A6" s="28" t="inlineStr">
        <is>
          <t xml:space="preserve">  COGS %</t>
        </is>
      </c>
      <c r="B6" s="26" t="inlineStr"/>
      <c r="C6" s="29" t="inlineStr"/>
      <c r="D6" s="29" t="inlineStr"/>
      <c r="E6" s="29" t="inlineStr"/>
      <c r="F6" s="30" t="inlineStr"/>
      <c r="G6" s="30" t="inlineStr"/>
      <c r="H6" s="30" t="inlineStr"/>
      <c r="I6" s="30" t="inlineStr"/>
      <c r="J6" s="30" t="inlineStr"/>
    </row>
    <row r="7" ht="15" customHeight="1">
      <c r="A7" s="25" t="inlineStr">
        <is>
          <t>Gross Profit</t>
        </is>
      </c>
      <c r="B7" s="26">
        <f> Rev - COGS</f>
        <v/>
      </c>
      <c r="C7" s="8" t="n">
        <v>38</v>
      </c>
      <c r="D7" s="8" t="n">
        <v>40</v>
      </c>
      <c r="E7" s="8" t="n">
        <v>43.2</v>
      </c>
      <c r="F7" s="27" t="inlineStr">
        <is>
          <t>[formula]</t>
        </is>
      </c>
      <c r="G7" s="27" t="inlineStr">
        <is>
          <t>[formula]</t>
        </is>
      </c>
      <c r="H7" s="27" t="inlineStr">
        <is>
          <t>[formula]</t>
        </is>
      </c>
      <c r="I7" s="27" t="inlineStr">
        <is>
          <t>[formula]</t>
        </is>
      </c>
      <c r="J7" s="27" t="inlineStr">
        <is>
          <t>[formula]</t>
        </is>
      </c>
    </row>
    <row r="8" ht="15" customHeight="1">
      <c r="A8" s="28" t="inlineStr">
        <is>
          <t xml:space="preserve">  Gross margin</t>
        </is>
      </c>
      <c r="B8" s="26" t="inlineStr"/>
      <c r="C8" s="29" t="inlineStr"/>
      <c r="D8" s="29" t="inlineStr"/>
      <c r="E8" s="29" t="inlineStr"/>
      <c r="F8" s="30" t="inlineStr"/>
      <c r="G8" s="30" t="inlineStr"/>
      <c r="H8" s="30" t="inlineStr"/>
      <c r="I8" s="30" t="inlineStr"/>
      <c r="J8" s="30" t="inlineStr"/>
    </row>
    <row r="9" ht="15" customHeight="1">
      <c r="A9" s="25" t="inlineStr">
        <is>
          <t>OpEx</t>
        </is>
      </c>
      <c r="B9" s="26" t="inlineStr">
        <is>
          <t>% of revenue</t>
        </is>
      </c>
      <c r="C9" s="8" t="n">
        <v>17.1</v>
      </c>
      <c r="D9" s="8" t="n">
        <v>18</v>
      </c>
      <c r="E9" s="8" t="n">
        <v>19.4</v>
      </c>
      <c r="F9" s="27" t="inlineStr">
        <is>
          <t>[formula]</t>
        </is>
      </c>
      <c r="G9" s="27" t="inlineStr">
        <is>
          <t>[formula]</t>
        </is>
      </c>
      <c r="H9" s="27" t="inlineStr">
        <is>
          <t>[formula]</t>
        </is>
      </c>
      <c r="I9" s="27" t="inlineStr">
        <is>
          <t>[formula]</t>
        </is>
      </c>
      <c r="J9" s="27" t="inlineStr">
        <is>
          <t>[formula]</t>
        </is>
      </c>
    </row>
    <row r="10" ht="15" customHeight="1">
      <c r="A10" s="25" t="inlineStr">
        <is>
          <t>EBIT</t>
        </is>
      </c>
      <c r="B10" s="26">
        <f> GP - OpEx</f>
        <v/>
      </c>
      <c r="C10" s="8" t="n">
        <v>20.9</v>
      </c>
      <c r="D10" s="8" t="n">
        <v>22</v>
      </c>
      <c r="E10" s="8" t="n">
        <v>23.8</v>
      </c>
      <c r="F10" s="27" t="inlineStr">
        <is>
          <t>[formula]</t>
        </is>
      </c>
      <c r="G10" s="27" t="inlineStr">
        <is>
          <t>[formula]</t>
        </is>
      </c>
      <c r="H10" s="27" t="inlineStr">
        <is>
          <t>[formula]</t>
        </is>
      </c>
      <c r="I10" s="27" t="inlineStr">
        <is>
          <t>[formula]</t>
        </is>
      </c>
      <c r="J10" s="27" t="inlineStr">
        <is>
          <t>[formula]</t>
        </is>
      </c>
    </row>
    <row r="11" ht="15" customHeight="1">
      <c r="A11" s="28" t="inlineStr">
        <is>
          <t xml:space="preserve">  EBIT margin</t>
        </is>
      </c>
      <c r="B11" s="26" t="inlineStr"/>
      <c r="C11" s="29" t="inlineStr"/>
      <c r="D11" s="29" t="inlineStr"/>
      <c r="E11" s="29" t="inlineStr"/>
      <c r="F11" s="30" t="inlineStr"/>
      <c r="G11" s="30" t="inlineStr"/>
      <c r="H11" s="30" t="inlineStr"/>
      <c r="I11" s="30" t="inlineStr"/>
      <c r="J11" s="30" t="inlineStr"/>
    </row>
    <row r="12" ht="15" customHeight="1">
      <c r="A12" s="25" t="inlineStr">
        <is>
          <t>D&amp;A</t>
        </is>
      </c>
      <c r="B12" s="26" t="inlineStr">
        <is>
          <t>% of revenue</t>
        </is>
      </c>
      <c r="C12" s="8" t="n">
        <v>3.8</v>
      </c>
      <c r="D12" s="8" t="n">
        <v>4</v>
      </c>
      <c r="E12" s="8" t="n">
        <v>4.3</v>
      </c>
      <c r="F12" s="27" t="inlineStr">
        <is>
          <t>[formula]</t>
        </is>
      </c>
      <c r="G12" s="27" t="inlineStr">
        <is>
          <t>[formula]</t>
        </is>
      </c>
      <c r="H12" s="27" t="inlineStr">
        <is>
          <t>[formula]</t>
        </is>
      </c>
      <c r="I12" s="27" t="inlineStr">
        <is>
          <t>[formula]</t>
        </is>
      </c>
      <c r="J12" s="27" t="inlineStr">
        <is>
          <t>[formula]</t>
        </is>
      </c>
    </row>
    <row r="13" ht="15" customHeight="1">
      <c r="A13" s="25" t="inlineStr">
        <is>
          <t>EBITDA</t>
        </is>
      </c>
      <c r="B13" s="26">
        <f> EBIT + D&amp;A</f>
        <v/>
      </c>
      <c r="C13" s="8" t="n">
        <v>24.7</v>
      </c>
      <c r="D13" s="8" t="n">
        <v>26</v>
      </c>
      <c r="E13" s="8" t="n">
        <v>28.1</v>
      </c>
      <c r="F13" s="27" t="inlineStr">
        <is>
          <t>[formula]</t>
        </is>
      </c>
      <c r="G13" s="27" t="inlineStr">
        <is>
          <t>[formula]</t>
        </is>
      </c>
      <c r="H13" s="27" t="inlineStr">
        <is>
          <t>[formula]</t>
        </is>
      </c>
      <c r="I13" s="27" t="inlineStr">
        <is>
          <t>[formula]</t>
        </is>
      </c>
      <c r="J13" s="27" t="inlineStr">
        <is>
          <t>[formula]</t>
        </is>
      </c>
    </row>
    <row r="14" ht="15" customHeight="1">
      <c r="A14" s="28" t="inlineStr">
        <is>
          <t xml:space="preserve">  EBITDA margin</t>
        </is>
      </c>
      <c r="B14" s="26" t="inlineStr"/>
      <c r="C14" s="29" t="inlineStr"/>
      <c r="D14" s="29" t="inlineStr"/>
      <c r="E14" s="29" t="inlineStr"/>
      <c r="F14" s="30" t="inlineStr"/>
      <c r="G14" s="30" t="inlineStr"/>
      <c r="H14" s="30" t="inlineStr"/>
      <c r="I14" s="30" t="inlineStr"/>
      <c r="J14" s="30" t="inlineStr"/>
    </row>
    <row r="15" ht="15" customHeight="1">
      <c r="A15" s="25" t="inlineStr">
        <is>
          <t>Interest expense</t>
        </is>
      </c>
      <c r="B15" s="26" t="inlineStr">
        <is>
          <t>From debt model</t>
        </is>
      </c>
      <c r="C15" s="8" t="n">
        <v>6</v>
      </c>
      <c r="D15" s="8" t="n">
        <v>5.8</v>
      </c>
      <c r="E15" s="8" t="n">
        <v>5.5</v>
      </c>
      <c r="F15" s="27" t="inlineStr">
        <is>
          <t>[formula]</t>
        </is>
      </c>
      <c r="G15" s="27" t="inlineStr">
        <is>
          <t>[formula]</t>
        </is>
      </c>
      <c r="H15" s="27" t="inlineStr">
        <is>
          <t>[formula]</t>
        </is>
      </c>
      <c r="I15" s="27" t="inlineStr">
        <is>
          <t>[formula]</t>
        </is>
      </c>
      <c r="J15" s="27" t="inlineStr">
        <is>
          <t>[formula]</t>
        </is>
      </c>
    </row>
    <row r="16" ht="15" customHeight="1">
      <c r="A16" s="25" t="inlineStr">
        <is>
          <t>EBT</t>
        </is>
      </c>
      <c r="B16" s="26">
        <f> EBIT - Int</f>
        <v/>
      </c>
      <c r="C16" s="8" t="n">
        <v>14.9</v>
      </c>
      <c r="D16" s="8" t="n">
        <v>16.2</v>
      </c>
      <c r="E16" s="8" t="n">
        <v>18.3</v>
      </c>
      <c r="F16" s="27" t="inlineStr">
        <is>
          <t>[formula]</t>
        </is>
      </c>
      <c r="G16" s="27" t="inlineStr">
        <is>
          <t>[formula]</t>
        </is>
      </c>
      <c r="H16" s="27" t="inlineStr">
        <is>
          <t>[formula]</t>
        </is>
      </c>
      <c r="I16" s="27" t="inlineStr">
        <is>
          <t>[formula]</t>
        </is>
      </c>
      <c r="J16" s="27" t="inlineStr">
        <is>
          <t>[formula]</t>
        </is>
      </c>
    </row>
    <row r="17" ht="15" customHeight="1">
      <c r="A17" s="25" t="inlineStr">
        <is>
          <t>Taxes</t>
        </is>
      </c>
      <c r="B17" s="26" t="inlineStr">
        <is>
          <t>% of EBT</t>
        </is>
      </c>
      <c r="C17" s="8" t="n">
        <v>3.7</v>
      </c>
      <c r="D17" s="8" t="n">
        <v>4.1</v>
      </c>
      <c r="E17" s="8" t="n">
        <v>4.6</v>
      </c>
      <c r="F17" s="27" t="inlineStr">
        <is>
          <t>[formula]</t>
        </is>
      </c>
      <c r="G17" s="27" t="inlineStr">
        <is>
          <t>[formula]</t>
        </is>
      </c>
      <c r="H17" s="27" t="inlineStr">
        <is>
          <t>[formula]</t>
        </is>
      </c>
      <c r="I17" s="27" t="inlineStr">
        <is>
          <t>[formula]</t>
        </is>
      </c>
      <c r="J17" s="27" t="inlineStr">
        <is>
          <t>[formula]</t>
        </is>
      </c>
    </row>
    <row r="18" ht="15" customHeight="1">
      <c r="A18" s="25" t="inlineStr">
        <is>
          <t>Net Income</t>
        </is>
      </c>
      <c r="B18" s="26">
        <f> EBT - Tax</f>
        <v/>
      </c>
      <c r="C18" s="8" t="n">
        <v>11.2</v>
      </c>
      <c r="D18" s="8" t="n">
        <v>12.1</v>
      </c>
      <c r="E18" s="8" t="n">
        <v>13.7</v>
      </c>
      <c r="F18" s="27" t="inlineStr">
        <is>
          <t>[formula]</t>
        </is>
      </c>
      <c r="G18" s="27" t="inlineStr">
        <is>
          <t>[formula]</t>
        </is>
      </c>
      <c r="H18" s="27" t="inlineStr">
        <is>
          <t>[formula]</t>
        </is>
      </c>
      <c r="I18" s="27" t="inlineStr">
        <is>
          <t>[formula]</t>
        </is>
      </c>
      <c r="J18" s="27" t="inlineStr">
        <is>
          <t>[formula]</t>
        </is>
      </c>
    </row>
    <row r="19" ht="15" customHeight="1">
      <c r="A19" s="28" t="inlineStr">
        <is>
          <t xml:space="preserve">  Net margin</t>
        </is>
      </c>
      <c r="B19" s="26" t="inlineStr"/>
      <c r="C19" s="29" t="inlineStr"/>
      <c r="D19" s="29" t="inlineStr"/>
      <c r="E19" s="29" t="inlineStr"/>
      <c r="F19" s="30" t="inlineStr"/>
      <c r="G19" s="30" t="inlineStr"/>
      <c r="H19" s="30" t="inlineStr"/>
      <c r="I19" s="30" t="inlineStr"/>
      <c r="J19" s="30" t="inlineStr"/>
    </row>
    <row r="22">
      <c r="A22" s="14" t="inlineStr">
        <is>
          <t>INSTRUCTION: Fill in the blue Historical cells. The grey forecast cells are populated automatically by the app when you run the simulation. You can override any grey cell with a blue value.</t>
        </is>
      </c>
    </row>
  </sheetData>
  <mergeCells count="2">
    <mergeCell ref="A22:J22"/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38" customWidth="1" min="3" max="3"/>
  </cols>
  <sheetData>
    <row r="1" ht="20" customHeight="1">
      <c r="A1" s="5" t="inlineStr">
        <is>
          <t>MONTE CARLO SIMULATION INPUTS</t>
        </is>
      </c>
    </row>
    <row r="2" ht="18" customHeight="1">
      <c r="A2" s="15" t="inlineStr">
        <is>
          <t xml:space="preserve">  FIXED ENTRY PARAMETERS</t>
        </is>
      </c>
    </row>
    <row r="3" ht="16" customHeight="1">
      <c r="A3" s="16" t="inlineStr">
        <is>
          <t>Entry EBITDA ($M)</t>
        </is>
      </c>
      <c r="B3" s="8" t="n">
        <v>100</v>
      </c>
      <c r="C3" s="18" t="inlineStr">
        <is>
          <t>Latest twelve months EBITDA</t>
        </is>
      </c>
    </row>
    <row r="4" ht="16" customHeight="1">
      <c r="A4" s="16" t="inlineStr">
        <is>
          <t>Entry multiple (x)</t>
        </is>
      </c>
      <c r="B4" s="19" t="n">
        <v>10</v>
      </c>
      <c r="C4" s="18" t="inlineStr">
        <is>
          <t>EV / EBITDA at acquisition</t>
        </is>
      </c>
    </row>
    <row r="5" ht="16" customHeight="1">
      <c r="A5" s="16" t="inlineStr">
        <is>
          <t>Holding period (yrs)</t>
        </is>
      </c>
      <c r="B5" s="20" t="n">
        <v>5</v>
      </c>
      <c r="C5" s="18" t="inlineStr">
        <is>
          <t>Years until expected exit</t>
        </is>
      </c>
    </row>
    <row r="6" ht="16" customHeight="1"/>
    <row r="7" ht="18" customHeight="1">
      <c r="A7" s="15" t="inlineStr">
        <is>
          <t xml:space="preserve">  STOCHASTIC VARIABLE DISTRIBUTIONS</t>
        </is>
      </c>
    </row>
    <row r="8" ht="16" customHeight="1">
      <c r="A8" s="16" t="inlineStr">
        <is>
          <t>Growth mean (%)</t>
        </is>
      </c>
      <c r="B8" s="9" t="n">
        <v>0.05</v>
      </c>
      <c r="C8" s="18" t="inlineStr">
        <is>
          <t>Expected annual revenue growth rate</t>
        </is>
      </c>
    </row>
    <row r="9" ht="16" customHeight="1">
      <c r="A9" s="16" t="inlineStr">
        <is>
          <t>Growth std dev (%)</t>
        </is>
      </c>
      <c r="B9" s="9" t="n">
        <v>0.03</v>
      </c>
      <c r="C9" s="18" t="inlineStr">
        <is>
          <t>Higher = more uncertain = wider IRR distribution</t>
        </is>
      </c>
    </row>
    <row r="10" ht="16" customHeight="1">
      <c r="A10" s="16" t="inlineStr">
        <is>
          <t>Exit multiple mean (x)</t>
        </is>
      </c>
      <c r="B10" s="19" t="n">
        <v>10</v>
      </c>
      <c r="C10" s="18" t="inlineStr">
        <is>
          <t>Expected exit multiple</t>
        </is>
      </c>
    </row>
    <row r="11" ht="16" customHeight="1">
      <c r="A11" s="16" t="inlineStr">
        <is>
          <t>Exit multiple std dev (x)</t>
        </is>
      </c>
      <c r="B11" s="19" t="n">
        <v>1.5</v>
      </c>
      <c r="C11" s="18" t="inlineStr">
        <is>
          <t>Uncertainty in exit multiple</t>
        </is>
      </c>
    </row>
    <row r="12" ht="16" customHeight="1">
      <c r="A12" s="16" t="inlineStr">
        <is>
          <t>Interest rate mean (%)</t>
        </is>
      </c>
      <c r="B12" s="9" t="n">
        <v>0.065</v>
      </c>
      <c r="C12" s="18" t="inlineStr">
        <is>
          <t>Expected interest rate on debt</t>
        </is>
      </c>
    </row>
    <row r="13" ht="16" customHeight="1">
      <c r="A13" s="16" t="inlineStr">
        <is>
          <t>Interest rate std dev (%)</t>
        </is>
      </c>
      <c r="B13" s="9" t="n">
        <v>0.015</v>
      </c>
      <c r="C13" s="18" t="inlineStr">
        <is>
          <t>Interest rate uncertainty</t>
        </is>
      </c>
    </row>
    <row r="14" ht="16" customHeight="1">
      <c r="A14" s="16" t="inlineStr">
        <is>
          <t>Gross margin mean (%)</t>
        </is>
      </c>
      <c r="B14" s="9" t="n">
        <v>0.4</v>
      </c>
      <c r="C14" s="18" t="inlineStr">
        <is>
          <t>Expected gross margin</t>
        </is>
      </c>
    </row>
    <row r="15" ht="16" customHeight="1">
      <c r="A15" s="16" t="inlineStr">
        <is>
          <t>Gross margin std dev (%)</t>
        </is>
      </c>
      <c r="B15" s="9" t="n">
        <v>0.03</v>
      </c>
      <c r="C15" s="18" t="inlineStr">
        <is>
          <t>Gross margin uncertainty</t>
        </is>
      </c>
    </row>
    <row r="16" ht="16" customHeight="1"/>
    <row r="17" ht="18" customHeight="1">
      <c r="A17" s="15" t="inlineStr">
        <is>
          <t xml:space="preserve">  FIXED STRUCTURE</t>
        </is>
      </c>
    </row>
    <row r="18" ht="16" customHeight="1">
      <c r="A18" s="16" t="inlineStr">
        <is>
          <t>Debt / EV (%)</t>
        </is>
      </c>
      <c r="B18" s="9" t="n">
        <v>0.6</v>
      </c>
      <c r="C18" s="18" t="inlineStr">
        <is>
          <t>Leverage level</t>
        </is>
      </c>
    </row>
    <row r="19" ht="16" customHeight="1">
      <c r="A19" s="16" t="inlineStr">
        <is>
          <t>Senior / total debt (%)</t>
        </is>
      </c>
      <c r="B19" s="9" t="n">
        <v>0.7</v>
      </c>
      <c r="C19" s="18" t="inlineStr">
        <is>
          <t>Senior vs mezz split</t>
        </is>
      </c>
    </row>
    <row r="20" ht="16" customHeight="1">
      <c r="A20" s="16" t="inlineStr">
        <is>
          <t>Mezz spread (%)</t>
        </is>
      </c>
      <c r="B20" s="9" t="n">
        <v>0.04</v>
      </c>
      <c r="C20" s="18" t="inlineStr">
        <is>
          <t>Spread over base rate</t>
        </is>
      </c>
    </row>
    <row r="21" ht="16" customHeight="1">
      <c r="A21" s="16" t="inlineStr">
        <is>
          <t>OpEx / revenue (%)</t>
        </is>
      </c>
      <c r="B21" s="9" t="n">
        <v>0.18</v>
      </c>
      <c r="C21" s="18" t="inlineStr">
        <is>
          <t>Fixed operating cost assumption</t>
        </is>
      </c>
    </row>
    <row r="22" ht="16" customHeight="1">
      <c r="A22" s="16" t="inlineStr">
        <is>
          <t>D&amp;A / revenue (%)</t>
        </is>
      </c>
      <c r="B22" s="9" t="n">
        <v>0.04</v>
      </c>
      <c r="C22" s="18" t="inlineStr">
        <is>
          <t>Fixed D&amp;A assumption</t>
        </is>
      </c>
    </row>
    <row r="23" ht="16" customHeight="1">
      <c r="A23" s="16" t="inlineStr">
        <is>
          <t>Tax rate (%)</t>
        </is>
      </c>
      <c r="B23" s="9" t="n">
        <v>0.25</v>
      </c>
      <c r="C23" s="18" t="inlineStr">
        <is>
          <t>Corporate tax rate</t>
        </is>
      </c>
    </row>
    <row r="24" ht="16" customHeight="1">
      <c r="A24" s="16" t="inlineStr">
        <is>
          <t>Capex / revenue (%)</t>
        </is>
      </c>
      <c r="B24" s="9" t="n">
        <v>0.04</v>
      </c>
      <c r="C24" s="18" t="inlineStr">
        <is>
          <t>Capital expenditure</t>
        </is>
      </c>
    </row>
    <row r="25" ht="16" customHeight="1">
      <c r="A25" s="16" t="inlineStr">
        <is>
          <t>NWC / revenue (%)</t>
        </is>
      </c>
      <c r="B25" s="9" t="n">
        <v>0.01</v>
      </c>
      <c r="C25" s="18" t="inlineStr">
        <is>
          <t>Working capital change</t>
        </is>
      </c>
    </row>
    <row r="26" ht="16" customHeight="1"/>
    <row r="27" ht="18" customHeight="1">
      <c r="A27" s="15" t="inlineStr">
        <is>
          <t xml:space="preserve">  SIMULATION SETTINGS</t>
        </is>
      </c>
    </row>
    <row r="28" ht="16" customHeight="1">
      <c r="A28" s="16" t="inlineStr">
        <is>
          <t>Number of scenarios</t>
        </is>
      </c>
      <c r="B28" s="21" t="n">
        <v>50000</v>
      </c>
      <c r="C28" s="18" t="inlineStr">
        <is>
          <t>50,000 is recommended — runs in ~0.2 seconds</t>
        </is>
      </c>
    </row>
    <row r="29" ht="16" customHeight="1">
      <c r="A29" s="16" t="inlineStr">
        <is>
          <t>Hurdle rate (%)</t>
        </is>
      </c>
      <c r="B29" s="9" t="n">
        <v>0.2</v>
      </c>
      <c r="C29" s="18" t="inlineStr">
        <is>
          <t>Minimum IRR target (typically 20% for PE)</t>
        </is>
      </c>
    </row>
  </sheetData>
  <mergeCells count="5">
    <mergeCell ref="A1:C1"/>
    <mergeCell ref="A17:C17"/>
    <mergeCell ref="A27:C27"/>
    <mergeCell ref="A7:C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2026-03-31T01:42:49Z</dcterms:created>
  <dcterms:modified xmlns:dcterms="http://purl.org/dc/terms/" xmlns:xsi="http://www.w3.org/2001/XMLSchema-instance" xsi:type="dcterms:W3CDTF">2026-03-31T01:42:49Z</dcterms:modified>
</cp:coreProperties>
</file>